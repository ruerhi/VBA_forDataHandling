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83652be281dec9/Documents/VBA本執筆/VBA_forDataHandling_forGitHub/Program/4_Advance/"/>
    </mc:Choice>
  </mc:AlternateContent>
  <xr:revisionPtr revIDLastSave="9" documentId="8_{AD6F059E-DBA4-47F9-A652-23930D31EACC}" xr6:coauthVersionLast="47" xr6:coauthVersionMax="47" xr10:uidLastSave="{1FBFC5EA-F1B5-479D-BD34-7FB547ACC51A}"/>
  <bookViews>
    <workbookView xWindow="21120" yWindow="5490" windowWidth="15200" windowHeight="10220" xr2:uid="{E3CBE17E-A6B4-45A7-B178-A8644F9A8C5C}"/>
  </bookViews>
  <sheets>
    <sheet name="Sheet1" sheetId="1" r:id="rId1"/>
  </sheets>
  <functionGroups builtInGroupCount="19"/>
  <definedNames>
    <definedName name="_xlnm._FilterDatabase" localSheetId="0" hidden="1">Sheet1!$A$1:$M$22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 s="1"/>
  <c r="H1" i="1" s="1"/>
  <c r="I1" i="1" s="1"/>
  <c r="J1" i="1" s="1"/>
  <c r="K1" i="1" s="1"/>
  <c r="L1" i="1" s="1"/>
  <c r="M1" i="1" s="1"/>
  <c r="F22" i="1"/>
  <c r="G22" i="1" s="1"/>
  <c r="H22" i="1" s="1"/>
  <c r="I22" i="1" s="1"/>
  <c r="J22" i="1" s="1"/>
  <c r="K22" i="1" s="1"/>
  <c r="L22" i="1" s="1"/>
  <c r="M22" i="1" s="1"/>
  <c r="F19" i="1"/>
  <c r="G19" i="1" s="1"/>
  <c r="H19" i="1" s="1"/>
  <c r="I19" i="1" s="1"/>
  <c r="J19" i="1" s="1"/>
  <c r="K19" i="1" s="1"/>
  <c r="L19" i="1" s="1"/>
  <c r="M19" i="1" s="1"/>
  <c r="F16" i="1"/>
  <c r="G16" i="1" s="1"/>
  <c r="H16" i="1" s="1"/>
  <c r="I16" i="1" s="1"/>
  <c r="J16" i="1" s="1"/>
  <c r="K16" i="1" s="1"/>
  <c r="L16" i="1" s="1"/>
  <c r="M16" i="1" s="1"/>
  <c r="F13" i="1"/>
  <c r="G13" i="1" s="1"/>
  <c r="H13" i="1" s="1"/>
  <c r="I13" i="1" s="1"/>
  <c r="J13" i="1" s="1"/>
  <c r="K13" i="1" s="1"/>
  <c r="L13" i="1" s="1"/>
  <c r="M13" i="1" s="1"/>
  <c r="F10" i="1"/>
  <c r="G10" i="1" s="1"/>
  <c r="H10" i="1" s="1"/>
  <c r="I10" i="1" s="1"/>
  <c r="J10" i="1" s="1"/>
  <c r="K10" i="1" s="1"/>
  <c r="L10" i="1" s="1"/>
  <c r="M10" i="1" s="1"/>
  <c r="F7" i="1"/>
  <c r="G7" i="1" s="1"/>
  <c r="H7" i="1" s="1"/>
  <c r="I7" i="1" s="1"/>
  <c r="J7" i="1" s="1"/>
  <c r="K7" i="1" s="1"/>
  <c r="L7" i="1" s="1"/>
  <c r="M7" i="1" s="1"/>
  <c r="F4" i="1"/>
  <c r="G4" i="1" s="1"/>
  <c r="H4" i="1" s="1"/>
  <c r="I4" i="1" s="1"/>
  <c r="J4" i="1" s="1"/>
  <c r="K4" i="1" s="1"/>
  <c r="L4" i="1" s="1"/>
  <c r="M4" i="1" s="1"/>
  <c r="N22" i="1" a="1"/>
  <c r="N19" i="1" a="1"/>
  <c r="N16" i="1" a="1"/>
  <c r="N13" i="1" a="1"/>
  <c r="N10" i="1" a="1"/>
  <c r="N7" i="1" a="1"/>
  <c r="N4" i="1" a="1"/>
  <c r="N22" i="1" l="1"/>
  <c r="N19" i="1"/>
  <c r="N16" i="1"/>
  <c r="N13" i="1"/>
  <c r="N10" i="1"/>
  <c r="N7" i="1"/>
  <c r="N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<sst xmlns="http://schemas.openxmlformats.org/spreadsheetml/2006/main" count="67" uniqueCount="10">
  <si>
    <t>品番</t>
    <rPh sb="0" eb="2">
      <t>ヒンバン</t>
    </rPh>
    <phoneticPr fontId="1"/>
  </si>
  <si>
    <t>項目</t>
    <rPh sb="0" eb="2">
      <t>コウモク</t>
    </rPh>
    <phoneticPr fontId="1"/>
  </si>
  <si>
    <t>発注・入庫</t>
    <rPh sb="0" eb="2">
      <t>ハッチュウ</t>
    </rPh>
    <rPh sb="3" eb="5">
      <t>ニュウコ</t>
    </rPh>
    <phoneticPr fontId="1"/>
  </si>
  <si>
    <t>所要</t>
    <rPh sb="0" eb="2">
      <t>ショヨウ</t>
    </rPh>
    <phoneticPr fontId="1"/>
  </si>
  <si>
    <t>在庫</t>
    <rPh sb="0" eb="2">
      <t>ザイコ</t>
    </rPh>
    <phoneticPr fontId="1"/>
  </si>
  <si>
    <t>わたすげ</t>
    <phoneticPr fontId="1"/>
  </si>
  <si>
    <t>チェーン</t>
    <phoneticPr fontId="1"/>
  </si>
  <si>
    <t>丸カン</t>
    <rPh sb="0" eb="1">
      <t>マル</t>
    </rPh>
    <phoneticPr fontId="1"/>
  </si>
  <si>
    <t>種類</t>
    <rPh sb="0" eb="2">
      <t>シュルイ</t>
    </rPh>
    <phoneticPr fontId="1"/>
  </si>
  <si>
    <t>調達先</t>
    <rPh sb="0" eb="3">
      <t>チョウタツサキ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</si>
</sst>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;@"/>
    <numFmt numFmtId="177" formatCode="#,##0.0;[Red]\-#,##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A9CE"/>
        <bgColor indexed="64"/>
      </patternFill>
    </fill>
    <fill>
      <patternFill patternType="solid">
        <fgColor rgb="FFCDD7EA"/>
        <bgColor indexed="64"/>
      </patternFill>
    </fill>
    <fill>
      <patternFill patternType="solid">
        <fgColor rgb="FFDFCFDA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3" borderId="0" xfId="0" applyFill="1">
      <alignment vertical="center"/>
    </xf>
    <xf numFmtId="176" fontId="0" fillId="4" borderId="0" xfId="0" applyNumberFormat="1" applyFill="1">
      <alignment vertical="center"/>
    </xf>
    <xf numFmtId="38" fontId="0" fillId="0" borderId="0" xfId="1" applyFont="1">
      <alignment vertical="center"/>
    </xf>
    <xf numFmtId="38" fontId="0" fillId="2" borderId="0" xfId="1" applyFont="1" applyFill="1">
      <alignment vertical="center"/>
    </xf>
    <xf numFmtId="38" fontId="0" fillId="5" borderId="0" xfId="1" applyFont="1" applyFill="1">
      <alignment vertical="center"/>
    </xf>
    <xf numFmtId="38" fontId="0" fillId="6" borderId="0" xfId="1" applyFont="1" applyFill="1">
      <alignment vertical="center"/>
    </xf>
    <xf numFmtId="177" fontId="0" fillId="7" borderId="0" xfId="1" applyNumberFormat="1" applyFont="1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DFCFDA"/>
      <color rgb="FFC2A2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9D3E4-BA93-4B13-9DED-8F81EC8884B0}">
  <sheetPr codeName="Sheet1"/>
  <dimension ref="A1:N22"/>
  <sheetViews>
    <sheetView tabSelected="1" topLeftCell="C1" workbookViewId="0">
      <pane ySplit="1" topLeftCell="A2" activePane="bottomLeft" state="frozen"/>
      <selection pane="bottomLeft" activeCell="M26" sqref="M26"/>
    </sheetView>
  </sheetViews>
  <sheetFormatPr defaultRowHeight="18" x14ac:dyDescent="0.55000000000000004"/>
  <cols>
    <col min="1" max="1" width="12.4140625" customWidth="1"/>
    <col min="2" max="2" width="15.6640625" customWidth="1"/>
    <col min="3" max="3" width="13.25" customWidth="1"/>
    <col min="4" max="4" width="12.83203125" customWidth="1"/>
    <col min="5" max="13" width="11.58203125" customWidth="1"/>
    <col min="14" max="14" width="13" customWidth="1"/>
  </cols>
  <sheetData>
    <row r="1" spans="1:14" x14ac:dyDescent="0.55000000000000004">
      <c r="A1" s="1" t="s">
        <v>9</v>
      </c>
      <c r="B1" s="1" t="s">
        <v>8</v>
      </c>
      <c r="C1" s="1" t="s">
        <v>0</v>
      </c>
      <c r="D1" s="1" t="s">
        <v>1</v>
      </c>
      <c r="E1" s="2">
        <v>44986</v>
      </c>
      <c r="F1" s="2">
        <f>DATE(YEAR(E1), MONTH(E1)+1,1)</f>
        <v>45017</v>
      </c>
      <c r="G1" s="2">
        <f t="shared" ref="G1:M1" si="0">DATE(YEAR(F1), MONTH(F1)+1,1)</f>
        <v>45047</v>
      </c>
      <c r="H1" s="2">
        <f t="shared" si="0"/>
        <v>45078</v>
      </c>
      <c r="I1" s="2">
        <f t="shared" si="0"/>
        <v>45108</v>
      </c>
      <c r="J1" s="2">
        <f t="shared" si="0"/>
        <v>45139</v>
      </c>
      <c r="K1" s="2">
        <f t="shared" si="0"/>
        <v>45170</v>
      </c>
      <c r="L1" s="2">
        <f t="shared" si="0"/>
        <v>45200</v>
      </c>
      <c r="M1" s="2">
        <f t="shared" si="0"/>
        <v>45231</v>
      </c>
    </row>
    <row r="2" spans="1:14" x14ac:dyDescent="0.55000000000000004">
      <c r="A2" t="s">
        <v>5</v>
      </c>
      <c r="B2" t="s">
        <v>6</v>
      </c>
      <c r="C2">
        <v>97562</v>
      </c>
      <c r="D2" t="s">
        <v>2</v>
      </c>
      <c r="E2" s="3"/>
      <c r="F2" s="3">
        <v>10000</v>
      </c>
      <c r="G2" s="3">
        <v>2600</v>
      </c>
      <c r="H2" s="3">
        <v>0</v>
      </c>
      <c r="I2" s="3">
        <v>500</v>
      </c>
      <c r="J2" s="3">
        <v>10900</v>
      </c>
      <c r="K2" s="3">
        <v>4800</v>
      </c>
      <c r="L2" s="3">
        <v>8500</v>
      </c>
      <c r="M2" s="3">
        <v>16500</v>
      </c>
    </row>
    <row r="3" spans="1:14" x14ac:dyDescent="0.55000000000000004">
      <c r="A3" t="s">
        <v>5</v>
      </c>
      <c r="B3" t="s">
        <v>6</v>
      </c>
      <c r="C3">
        <v>97562</v>
      </c>
      <c r="D3" t="s">
        <v>3</v>
      </c>
      <c r="E3" s="3"/>
      <c r="F3" s="6">
        <v>7017</v>
      </c>
      <c r="G3" s="6">
        <v>8738</v>
      </c>
      <c r="H3" s="6">
        <v>8301</v>
      </c>
      <c r="I3" s="6">
        <v>432</v>
      </c>
      <c r="J3" s="6">
        <v>593</v>
      </c>
      <c r="K3" s="6">
        <v>22067</v>
      </c>
      <c r="L3" s="6">
        <v>900</v>
      </c>
      <c r="M3" s="6">
        <v>19349</v>
      </c>
    </row>
    <row r="4" spans="1:14" x14ac:dyDescent="0.55000000000000004">
      <c r="A4" t="s">
        <v>5</v>
      </c>
      <c r="B4" t="s">
        <v>6</v>
      </c>
      <c r="C4">
        <v>97562</v>
      </c>
      <c r="D4" t="s">
        <v>4</v>
      </c>
      <c r="E4" s="5">
        <v>254</v>
      </c>
      <c r="F4" s="4">
        <f>E4+F2-F3</f>
        <v>3237</v>
      </c>
      <c r="G4" s="4">
        <f t="shared" ref="G4:M4" si="1">F4+G2-G3</f>
        <v>-2901</v>
      </c>
      <c r="H4" s="4">
        <f t="shared" si="1"/>
        <v>-11202</v>
      </c>
      <c r="I4" s="4">
        <f t="shared" si="1"/>
        <v>-11134</v>
      </c>
      <c r="J4" s="4">
        <f t="shared" si="1"/>
        <v>-827</v>
      </c>
      <c r="K4" s="4">
        <f t="shared" si="1"/>
        <v>-18094</v>
      </c>
      <c r="L4" s="4">
        <f t="shared" si="1"/>
        <v>-10494</v>
      </c>
      <c r="M4" s="4">
        <f t="shared" si="1"/>
        <v>-13343</v>
      </c>
      <c r="N4" s="7" cm="1">
        <f t="array" ref="N4">positiveAverage(F4:M4)</f>
        <v>3.2</v>
      </c>
    </row>
    <row r="5" spans="1:14" x14ac:dyDescent="0.55000000000000004">
      <c r="A5" t="s">
        <v>5</v>
      </c>
      <c r="B5" t="s">
        <v>6</v>
      </c>
      <c r="C5">
        <v>97563</v>
      </c>
      <c r="D5" t="s">
        <v>2</v>
      </c>
      <c r="E5" s="3"/>
      <c r="F5" s="3">
        <v>8500</v>
      </c>
      <c r="G5" s="3">
        <v>2500</v>
      </c>
      <c r="H5" s="3">
        <v>8500</v>
      </c>
      <c r="I5" s="3">
        <v>8500</v>
      </c>
      <c r="J5" s="3">
        <v>4800</v>
      </c>
      <c r="K5" s="3">
        <v>8000</v>
      </c>
      <c r="L5" s="3">
        <v>200</v>
      </c>
      <c r="M5" s="3">
        <v>300</v>
      </c>
    </row>
    <row r="6" spans="1:14" x14ac:dyDescent="0.55000000000000004">
      <c r="A6" t="s">
        <v>5</v>
      </c>
      <c r="B6" t="s">
        <v>6</v>
      </c>
      <c r="C6">
        <v>97563</v>
      </c>
      <c r="D6" t="s">
        <v>3</v>
      </c>
      <c r="E6" s="3"/>
      <c r="F6" s="6">
        <v>5572</v>
      </c>
      <c r="G6" s="6">
        <v>16829</v>
      </c>
      <c r="H6" s="6">
        <v>954</v>
      </c>
      <c r="I6" s="6">
        <v>10168</v>
      </c>
      <c r="J6" s="6">
        <v>24205</v>
      </c>
      <c r="K6" s="6">
        <v>14944</v>
      </c>
      <c r="L6" s="6">
        <v>9456</v>
      </c>
      <c r="M6" s="6">
        <v>6293</v>
      </c>
    </row>
    <row r="7" spans="1:14" x14ac:dyDescent="0.55000000000000004">
      <c r="A7" t="s">
        <v>5</v>
      </c>
      <c r="B7" t="s">
        <v>6</v>
      </c>
      <c r="C7">
        <v>97563</v>
      </c>
      <c r="D7" t="s">
        <v>4</v>
      </c>
      <c r="E7" s="5">
        <v>4258</v>
      </c>
      <c r="F7" s="4">
        <f>E7+F5-F6</f>
        <v>7186</v>
      </c>
      <c r="G7" s="4">
        <f t="shared" ref="G7" si="2">F7+G5-G6</f>
        <v>-7143</v>
      </c>
      <c r="H7" s="4">
        <f t="shared" ref="H7" si="3">G7+H5-H6</f>
        <v>403</v>
      </c>
      <c r="I7" s="4">
        <f t="shared" ref="I7" si="4">H7+I5-I6</f>
        <v>-1265</v>
      </c>
      <c r="J7" s="4">
        <f t="shared" ref="J7" si="5">I7+J5-J6</f>
        <v>-20670</v>
      </c>
      <c r="K7" s="4">
        <f t="shared" ref="K7" si="6">J7+K5-K6</f>
        <v>-27614</v>
      </c>
      <c r="L7" s="4">
        <f t="shared" ref="L7" si="7">K7+L5-L6</f>
        <v>-36870</v>
      </c>
      <c r="M7" s="4">
        <f t="shared" ref="M7" si="8">L7+M5-M6</f>
        <v>-42863</v>
      </c>
      <c r="N7" s="7" cm="1">
        <f t="array" ref="N7">positiveAverage(F7:M7)</f>
        <v>3.8</v>
      </c>
    </row>
    <row r="8" spans="1:14" x14ac:dyDescent="0.55000000000000004">
      <c r="A8" t="s">
        <v>5</v>
      </c>
      <c r="B8" t="s">
        <v>6</v>
      </c>
      <c r="C8">
        <v>97564</v>
      </c>
      <c r="D8" t="s">
        <v>2</v>
      </c>
      <c r="E8" s="3"/>
      <c r="F8" s="3">
        <v>1100</v>
      </c>
      <c r="G8" s="3">
        <v>700</v>
      </c>
      <c r="H8" s="3">
        <v>2800</v>
      </c>
      <c r="I8" s="3">
        <v>0</v>
      </c>
      <c r="J8" s="3">
        <v>2100</v>
      </c>
      <c r="K8" s="3">
        <v>9000</v>
      </c>
      <c r="L8" s="3">
        <v>0</v>
      </c>
      <c r="M8" s="3">
        <v>0</v>
      </c>
    </row>
    <row r="9" spans="1:14" x14ac:dyDescent="0.55000000000000004">
      <c r="A9" t="s">
        <v>5</v>
      </c>
      <c r="B9" t="s">
        <v>6</v>
      </c>
      <c r="C9">
        <v>97564</v>
      </c>
      <c r="D9" t="s">
        <v>3</v>
      </c>
      <c r="E9" s="3"/>
      <c r="F9" s="6">
        <v>3513</v>
      </c>
      <c r="G9" s="6">
        <v>2255</v>
      </c>
      <c r="H9" s="6">
        <v>2417</v>
      </c>
      <c r="I9" s="6">
        <v>2916</v>
      </c>
      <c r="J9" s="6">
        <v>954</v>
      </c>
      <c r="K9" s="6">
        <v>4366</v>
      </c>
      <c r="L9" s="6">
        <v>2025</v>
      </c>
      <c r="M9" s="6">
        <v>3463</v>
      </c>
    </row>
    <row r="10" spans="1:14" x14ac:dyDescent="0.55000000000000004">
      <c r="A10" t="s">
        <v>5</v>
      </c>
      <c r="B10" t="s">
        <v>6</v>
      </c>
      <c r="C10">
        <v>97564</v>
      </c>
      <c r="D10" t="s">
        <v>4</v>
      </c>
      <c r="E10" s="5">
        <v>14425</v>
      </c>
      <c r="F10" s="4">
        <f>E10+F8-F9</f>
        <v>12012</v>
      </c>
      <c r="G10" s="4">
        <f t="shared" ref="G10" si="9">F10+G8-G9</f>
        <v>10457</v>
      </c>
      <c r="H10" s="4">
        <f t="shared" ref="H10" si="10">G10+H8-H9</f>
        <v>10840</v>
      </c>
      <c r="I10" s="4">
        <f t="shared" ref="I10" si="11">H10+I8-I9</f>
        <v>7924</v>
      </c>
      <c r="J10" s="4">
        <f t="shared" ref="J10" si="12">I10+J8-J9</f>
        <v>9070</v>
      </c>
      <c r="K10" s="4">
        <f t="shared" ref="K10" si="13">J10+K8-K9</f>
        <v>13704</v>
      </c>
      <c r="L10" s="4">
        <f t="shared" ref="L10" si="14">K10+L8-L9</f>
        <v>11679</v>
      </c>
      <c r="M10" s="4">
        <f t="shared" ref="M10" si="15">L10+M8-M9</f>
        <v>8216</v>
      </c>
      <c r="N10" s="7" cm="1">
        <f t="array" ref="N10">positiveAverage(F10:M10)</f>
        <v>10.5</v>
      </c>
    </row>
    <row r="11" spans="1:14" x14ac:dyDescent="0.55000000000000004">
      <c r="A11" t="s">
        <v>5</v>
      </c>
      <c r="B11" t="s">
        <v>7</v>
      </c>
      <c r="C11">
        <v>1071109</v>
      </c>
      <c r="D11" t="s">
        <v>2</v>
      </c>
      <c r="E11" s="3"/>
      <c r="F11" s="3">
        <v>5200</v>
      </c>
      <c r="G11" s="3">
        <v>6800</v>
      </c>
      <c r="H11" s="3">
        <v>6200</v>
      </c>
      <c r="I11" s="3">
        <v>0</v>
      </c>
      <c r="J11" s="3">
        <v>11800</v>
      </c>
      <c r="K11" s="3">
        <v>0</v>
      </c>
      <c r="L11" s="3">
        <v>6700</v>
      </c>
      <c r="M11" s="3">
        <v>5800</v>
      </c>
    </row>
    <row r="12" spans="1:14" x14ac:dyDescent="0.55000000000000004">
      <c r="A12" t="s">
        <v>5</v>
      </c>
      <c r="B12" t="s">
        <v>7</v>
      </c>
      <c r="C12">
        <v>1071109</v>
      </c>
      <c r="D12" t="s">
        <v>3</v>
      </c>
      <c r="E12" s="3"/>
      <c r="F12" s="6">
        <v>9881</v>
      </c>
      <c r="G12" s="6">
        <v>5804</v>
      </c>
      <c r="H12" s="6">
        <v>13458</v>
      </c>
      <c r="I12" s="6">
        <v>13657</v>
      </c>
      <c r="J12" s="6">
        <v>671</v>
      </c>
      <c r="K12" s="6">
        <v>9783</v>
      </c>
      <c r="L12" s="6">
        <v>5772</v>
      </c>
      <c r="M12" s="6">
        <v>15805</v>
      </c>
    </row>
    <row r="13" spans="1:14" x14ac:dyDescent="0.55000000000000004">
      <c r="A13" t="s">
        <v>5</v>
      </c>
      <c r="B13" t="s">
        <v>7</v>
      </c>
      <c r="C13">
        <v>1071109</v>
      </c>
      <c r="D13" t="s">
        <v>4</v>
      </c>
      <c r="E13" s="5">
        <v>7327</v>
      </c>
      <c r="F13" s="4">
        <f>E13+F11-F12</f>
        <v>2646</v>
      </c>
      <c r="G13" s="4">
        <f t="shared" ref="G13" si="16">F13+G11-G12</f>
        <v>3642</v>
      </c>
      <c r="H13" s="4">
        <f t="shared" ref="H13" si="17">G13+H11-H12</f>
        <v>-3616</v>
      </c>
      <c r="I13" s="4">
        <f t="shared" ref="I13" si="18">H13+I11-I12</f>
        <v>-17273</v>
      </c>
      <c r="J13" s="4">
        <f t="shared" ref="J13" si="19">I13+J11-J12</f>
        <v>-6144</v>
      </c>
      <c r="K13" s="4">
        <f t="shared" ref="K13" si="20">J13+K11-K12</f>
        <v>-15927</v>
      </c>
      <c r="L13" s="4">
        <f t="shared" ref="L13" si="21">K13+L11-L12</f>
        <v>-14999</v>
      </c>
      <c r="M13" s="4">
        <f t="shared" ref="M13" si="22">L13+M11-M12</f>
        <v>-25004</v>
      </c>
      <c r="N13" s="7" cm="1">
        <f t="array" ref="N13">positiveAverage(F13:M13)</f>
        <v>3.1</v>
      </c>
    </row>
    <row r="14" spans="1:14" x14ac:dyDescent="0.55000000000000004">
      <c r="A14" t="s">
        <v>5</v>
      </c>
      <c r="B14" t="s">
        <v>7</v>
      </c>
      <c r="C14">
        <v>1071110</v>
      </c>
      <c r="D14" t="s">
        <v>2</v>
      </c>
      <c r="E14" s="3"/>
      <c r="F14" s="3">
        <v>6400</v>
      </c>
      <c r="G14" s="3">
        <v>6300</v>
      </c>
      <c r="H14" s="3">
        <v>8200</v>
      </c>
      <c r="I14" s="3">
        <v>8000</v>
      </c>
      <c r="J14" s="3">
        <v>7800</v>
      </c>
      <c r="K14" s="3">
        <v>1500</v>
      </c>
      <c r="L14" s="3">
        <v>4400</v>
      </c>
      <c r="M14" s="3">
        <v>3900</v>
      </c>
    </row>
    <row r="15" spans="1:14" x14ac:dyDescent="0.55000000000000004">
      <c r="A15" t="s">
        <v>5</v>
      </c>
      <c r="B15" t="s">
        <v>7</v>
      </c>
      <c r="C15">
        <v>1071110</v>
      </c>
      <c r="D15" t="s">
        <v>3</v>
      </c>
      <c r="E15" s="3"/>
      <c r="F15" s="6">
        <v>10564</v>
      </c>
      <c r="G15" s="6">
        <v>30292</v>
      </c>
      <c r="H15" s="6">
        <v>19079</v>
      </c>
      <c r="I15" s="6">
        <v>6371</v>
      </c>
      <c r="J15" s="6">
        <v>18762</v>
      </c>
      <c r="K15" s="6">
        <v>25319</v>
      </c>
      <c r="L15" s="6">
        <v>2607</v>
      </c>
      <c r="M15" s="6">
        <v>6769</v>
      </c>
    </row>
    <row r="16" spans="1:14" x14ac:dyDescent="0.55000000000000004">
      <c r="A16" t="s">
        <v>5</v>
      </c>
      <c r="B16" t="s">
        <v>7</v>
      </c>
      <c r="C16">
        <v>1071110</v>
      </c>
      <c r="D16" t="s">
        <v>4</v>
      </c>
      <c r="E16" s="5">
        <v>9579</v>
      </c>
      <c r="F16" s="4">
        <f>E16+F14-F15</f>
        <v>5415</v>
      </c>
      <c r="G16" s="4">
        <f t="shared" ref="G16" si="23">F16+G14-G15</f>
        <v>-18577</v>
      </c>
      <c r="H16" s="4">
        <f t="shared" ref="H16" si="24">G16+H14-H15</f>
        <v>-29456</v>
      </c>
      <c r="I16" s="4">
        <f t="shared" ref="I16" si="25">H16+I14-I15</f>
        <v>-27827</v>
      </c>
      <c r="J16" s="4">
        <f t="shared" ref="J16" si="26">I16+J14-J15</f>
        <v>-38789</v>
      </c>
      <c r="K16" s="4">
        <f t="shared" ref="K16" si="27">J16+K14-K15</f>
        <v>-62608</v>
      </c>
      <c r="L16" s="4">
        <f t="shared" ref="L16" si="28">K16+L14-L15</f>
        <v>-60815</v>
      </c>
      <c r="M16" s="4">
        <f t="shared" ref="M16" si="29">L16+M14-M15</f>
        <v>-63684</v>
      </c>
      <c r="N16" s="7" cm="1">
        <f t="array" ref="N16">positiveAverage(F16:M16)</f>
        <v>5.4</v>
      </c>
    </row>
    <row r="17" spans="1:14" x14ac:dyDescent="0.55000000000000004">
      <c r="A17" t="s">
        <v>5</v>
      </c>
      <c r="B17" t="s">
        <v>7</v>
      </c>
      <c r="C17">
        <v>1071111</v>
      </c>
      <c r="D17" t="s">
        <v>2</v>
      </c>
      <c r="E17" s="3"/>
      <c r="F17" s="3">
        <v>6300</v>
      </c>
      <c r="G17" s="3">
        <v>4300</v>
      </c>
      <c r="H17" s="3">
        <v>9800</v>
      </c>
      <c r="I17" s="3">
        <v>0</v>
      </c>
      <c r="J17" s="3">
        <v>3300</v>
      </c>
      <c r="K17" s="3">
        <v>3200</v>
      </c>
      <c r="L17" s="3">
        <v>500</v>
      </c>
      <c r="M17" s="3">
        <v>1100</v>
      </c>
    </row>
    <row r="18" spans="1:14" x14ac:dyDescent="0.55000000000000004">
      <c r="A18" t="s">
        <v>5</v>
      </c>
      <c r="B18" t="s">
        <v>7</v>
      </c>
      <c r="C18">
        <v>1071111</v>
      </c>
      <c r="D18" t="s">
        <v>3</v>
      </c>
      <c r="E18" s="3"/>
      <c r="F18" s="6">
        <v>2067</v>
      </c>
      <c r="G18" s="6">
        <v>20887</v>
      </c>
      <c r="H18" s="6">
        <v>10914</v>
      </c>
      <c r="I18" s="6">
        <v>1278</v>
      </c>
      <c r="J18" s="6">
        <v>3613</v>
      </c>
      <c r="K18" s="6">
        <v>1228</v>
      </c>
      <c r="L18" s="6">
        <v>1399</v>
      </c>
      <c r="M18" s="6">
        <v>2880</v>
      </c>
    </row>
    <row r="19" spans="1:14" x14ac:dyDescent="0.55000000000000004">
      <c r="A19" t="s">
        <v>5</v>
      </c>
      <c r="B19" t="s">
        <v>7</v>
      </c>
      <c r="C19">
        <v>1071111</v>
      </c>
      <c r="D19" t="s">
        <v>4</v>
      </c>
      <c r="E19" s="5">
        <v>13844</v>
      </c>
      <c r="F19" s="4">
        <f>E19+F17-F18</f>
        <v>18077</v>
      </c>
      <c r="G19" s="4">
        <f t="shared" ref="G19" si="30">F19+G17-G18</f>
        <v>1490</v>
      </c>
      <c r="H19" s="4">
        <f t="shared" ref="H19" si="31">G19+H17-H18</f>
        <v>376</v>
      </c>
      <c r="I19" s="4">
        <f t="shared" ref="I19" si="32">H19+I17-I18</f>
        <v>-902</v>
      </c>
      <c r="J19" s="4">
        <f t="shared" ref="J19" si="33">I19+J17-J18</f>
        <v>-1215</v>
      </c>
      <c r="K19" s="4">
        <f t="shared" ref="K19" si="34">J19+K17-K18</f>
        <v>757</v>
      </c>
      <c r="L19" s="4">
        <f t="shared" ref="L19" si="35">K19+L17-L18</f>
        <v>-142</v>
      </c>
      <c r="M19" s="4">
        <f t="shared" ref="M19" si="36">L19+M17-M18</f>
        <v>-1922</v>
      </c>
      <c r="N19" s="7" cm="1">
        <f t="array" ref="N19">positiveAverage(F19:M19)</f>
        <v>5.2</v>
      </c>
    </row>
    <row r="20" spans="1:14" x14ac:dyDescent="0.55000000000000004">
      <c r="A20" t="s">
        <v>5</v>
      </c>
      <c r="B20" t="s">
        <v>7</v>
      </c>
      <c r="C20">
        <v>1071112</v>
      </c>
      <c r="D20" t="s">
        <v>2</v>
      </c>
      <c r="E20" s="3"/>
      <c r="F20" s="3">
        <v>7000</v>
      </c>
      <c r="G20" s="3">
        <v>0</v>
      </c>
      <c r="H20" s="3">
        <v>9700</v>
      </c>
      <c r="I20" s="3">
        <v>5500</v>
      </c>
      <c r="J20" s="3">
        <v>7300</v>
      </c>
      <c r="K20" s="3">
        <v>1200</v>
      </c>
      <c r="L20" s="3">
        <v>4900</v>
      </c>
      <c r="M20" s="3">
        <v>700</v>
      </c>
    </row>
    <row r="21" spans="1:14" x14ac:dyDescent="0.55000000000000004">
      <c r="A21" t="s">
        <v>5</v>
      </c>
      <c r="B21" t="s">
        <v>7</v>
      </c>
      <c r="C21">
        <v>1071112</v>
      </c>
      <c r="D21" t="s">
        <v>3</v>
      </c>
      <c r="E21" s="3"/>
      <c r="F21" s="6">
        <v>3017</v>
      </c>
      <c r="G21" s="6">
        <v>1353</v>
      </c>
      <c r="H21" s="6">
        <v>184</v>
      </c>
      <c r="I21" s="6">
        <v>11733</v>
      </c>
      <c r="J21" s="6">
        <v>6891</v>
      </c>
      <c r="K21" s="6">
        <v>21760</v>
      </c>
      <c r="L21" s="6">
        <v>8335</v>
      </c>
      <c r="M21" s="6">
        <v>5553</v>
      </c>
    </row>
    <row r="22" spans="1:14" x14ac:dyDescent="0.55000000000000004">
      <c r="A22" t="s">
        <v>5</v>
      </c>
      <c r="B22" t="s">
        <v>7</v>
      </c>
      <c r="C22">
        <v>1071112</v>
      </c>
      <c r="D22" t="s">
        <v>4</v>
      </c>
      <c r="E22" s="5">
        <v>744</v>
      </c>
      <c r="F22" s="4">
        <f>E22+F20-F21</f>
        <v>4727</v>
      </c>
      <c r="G22" s="4">
        <f t="shared" ref="G22" si="37">F22+G20-G21</f>
        <v>3374</v>
      </c>
      <c r="H22" s="4">
        <f t="shared" ref="H22" si="38">G22+H20-H21</f>
        <v>12890</v>
      </c>
      <c r="I22" s="4">
        <f t="shared" ref="I22" si="39">H22+I20-I21</f>
        <v>6657</v>
      </c>
      <c r="J22" s="4">
        <f t="shared" ref="J22" si="40">I22+J20-J21</f>
        <v>7066</v>
      </c>
      <c r="K22" s="4">
        <f t="shared" ref="K22" si="41">J22+K20-K21</f>
        <v>-13494</v>
      </c>
      <c r="L22" s="4">
        <f t="shared" ref="L22" si="42">K22+L20-L21</f>
        <v>-16929</v>
      </c>
      <c r="M22" s="4">
        <f t="shared" ref="M22" si="43">L22+M20-M21</f>
        <v>-21782</v>
      </c>
      <c r="N22" s="7" cm="1">
        <f t="array" ref="N22">positiveAverage(F22:M22)</f>
        <v>7</v>
      </c>
    </row>
  </sheetData>
  <autoFilter ref="A1:M22" xr:uid="{E299D3E4-BA93-4B13-9DED-8F81EC8884B0}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Inoue Hiroyuki</dc:creator>
  <cp:lastModifiedBy>井上 博之</cp:lastModifiedBy>
  <dcterms:created xsi:type="dcterms:W3CDTF">2022-03-08T00:27:56Z</dcterms:created>
  <dcterms:modified xsi:type="dcterms:W3CDTF">2023-03-31T11:35:30Z</dcterms:modified>
</cp:coreProperties>
</file>